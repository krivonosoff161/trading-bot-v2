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" sheetId="1" state="visible" r:id="rId1"/>
    <sheet xmlns:r="http://schemas.openxmlformats.org/officeDocument/2006/relationships" name="Симулято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4B942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7" borderId="0" applyAlignment="1" pivotButton="0" quotePrefix="0" xfId="0">
      <alignment horizontal="center"/>
    </xf>
    <xf numFmtId="0" fontId="0" fillId="8" borderId="0" pivotButton="0" quotePrefix="0" xfId="0"/>
    <xf numFmtId="0" fontId="2" fillId="9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0" customWidth="1" min="4" max="4"/>
    <col width="7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7" customWidth="1" min="12" max="12"/>
    <col width="7" customWidth="1" min="13" max="13"/>
    <col width="7" customWidth="1" min="14" max="14"/>
    <col width="8" customWidth="1" min="15" max="15"/>
    <col width="10" customWidth="1" min="16" max="16"/>
  </cols>
  <sheetData>
    <row r="1">
      <c r="A1" s="1" t="inlineStr">
        <is>
          <t>Дата</t>
        </is>
      </c>
      <c r="B1" s="1" t="inlineStr">
        <is>
          <t>Пара</t>
        </is>
      </c>
      <c r="C1" s="1" t="inlineStr">
        <is>
          <t>Канал</t>
        </is>
      </c>
      <c r="D1" s="1" t="inlineStr">
        <is>
          <t>Режим</t>
        </is>
      </c>
      <c r="E1" s="1" t="inlineStr">
        <is>
          <t>Стиль</t>
        </is>
      </c>
      <c r="F1" s="1" t="inlineStr">
        <is>
          <t>Сторона</t>
        </is>
      </c>
      <c r="G1" s="1" t="inlineStr">
        <is>
          <t>Вход</t>
        </is>
      </c>
      <c r="H1" s="1" t="inlineStr">
        <is>
          <t>SL</t>
        </is>
      </c>
      <c r="I1" s="1" t="inlineStr">
        <is>
          <t>TP</t>
        </is>
      </c>
      <c r="J1" s="1" t="inlineStr">
        <is>
          <t>Hold(мин)</t>
        </is>
      </c>
      <c r="K1" s="1" t="inlineStr">
        <is>
          <t>Исход</t>
        </is>
      </c>
      <c r="L1" s="1" t="inlineStr">
        <is>
          <t>R</t>
        </is>
      </c>
      <c r="M1" s="1" t="inlineStr">
        <is>
          <t>MFE_R</t>
        </is>
      </c>
      <c r="N1" s="1" t="inlineStr">
        <is>
          <t>MAE_R</t>
        </is>
      </c>
      <c r="O1" s="1" t="inlineStr">
        <is>
          <t>ADX_1H</t>
        </is>
      </c>
      <c r="P1" s="1" t="inlineStr">
        <is>
          <t>Финанс.</t>
        </is>
      </c>
    </row>
    <row r="2">
      <c r="A2" t="inlineStr">
        <is>
          <t>09.04 05:30</t>
        </is>
      </c>
      <c r="B2" t="inlineStr">
        <is>
          <t>DOGE-USDT</t>
        </is>
      </c>
      <c r="C2" t="inlineStr">
        <is>
          <t>ENTRY</t>
        </is>
      </c>
      <c r="D2" t="inlineStr">
        <is>
          <t>DRIFT</t>
        </is>
      </c>
      <c r="E2" t="inlineStr">
        <is>
          <t>FAST</t>
        </is>
      </c>
      <c r="F2" t="inlineStr">
        <is>
          <t>SHORT</t>
        </is>
      </c>
      <c r="G2" t="n">
        <v>0.09121</v>
      </c>
      <c r="H2" t="n">
        <v>0.0919</v>
      </c>
      <c r="I2" t="n">
        <v>0.09089999999999999</v>
      </c>
      <c r="J2" t="n">
        <v>240</v>
      </c>
      <c r="K2" s="2" t="inlineStr">
        <is>
          <t>TIME_EXIT</t>
        </is>
      </c>
      <c r="L2" t="n">
        <v>-0.48</v>
      </c>
      <c r="M2" t="n">
        <v>0.09</v>
      </c>
      <c r="N2" t="n">
        <v>0.64</v>
      </c>
      <c r="O2" t="n">
        <v>20.5</v>
      </c>
      <c r="P2" t="n">
        <v>-8.7e-05</v>
      </c>
    </row>
    <row r="3">
      <c r="A3" t="inlineStr">
        <is>
          <t>09.04 11:15</t>
        </is>
      </c>
      <c r="B3" t="inlineStr">
        <is>
          <t>XRP-USDT</t>
        </is>
      </c>
      <c r="C3" t="inlineStr">
        <is>
          <t>ENTRY</t>
        </is>
      </c>
      <c r="D3" t="inlineStr">
        <is>
          <t>DRIFT</t>
        </is>
      </c>
      <c r="E3" t="inlineStr">
        <is>
          <t>FAST</t>
        </is>
      </c>
      <c r="F3" t="inlineStr">
        <is>
          <t>SHORT</t>
        </is>
      </c>
      <c r="G3" t="n">
        <v>1.3318</v>
      </c>
      <c r="H3" t="n">
        <v>1.3389</v>
      </c>
      <c r="I3" t="n">
        <v>1.329</v>
      </c>
      <c r="J3" t="n">
        <v>120</v>
      </c>
      <c r="K3" s="3" t="inlineStr">
        <is>
          <t>TP</t>
        </is>
      </c>
      <c r="L3" t="n">
        <v>0.39</v>
      </c>
      <c r="M3" t="n">
        <v>0.54</v>
      </c>
      <c r="N3" t="n">
        <v>0.07000000000000001</v>
      </c>
      <c r="O3" t="n">
        <v>22.6</v>
      </c>
      <c r="P3" t="n">
        <v>-0.000102</v>
      </c>
    </row>
    <row r="4">
      <c r="A4" t="inlineStr">
        <is>
          <t>09.04 11:30</t>
        </is>
      </c>
      <c r="B4" t="inlineStr">
        <is>
          <t>BTC-USDT</t>
        </is>
      </c>
      <c r="C4" t="inlineStr">
        <is>
          <t>ENTRY</t>
        </is>
      </c>
      <c r="D4" t="inlineStr">
        <is>
          <t>TRENDING</t>
        </is>
      </c>
      <c r="E4" t="inlineStr">
        <is>
          <t>SWING</t>
        </is>
      </c>
      <c r="F4" t="inlineStr">
        <is>
          <t>LONG</t>
        </is>
      </c>
      <c r="G4" t="n">
        <v>71054.60000000001</v>
      </c>
      <c r="H4" t="n">
        <v>70780.43459999999</v>
      </c>
      <c r="I4" t="n">
        <v>71267.28780000001</v>
      </c>
      <c r="J4" t="n">
        <v>240</v>
      </c>
      <c r="K4" s="3" t="inlineStr">
        <is>
          <t>TP</t>
        </is>
      </c>
      <c r="L4" t="n">
        <v>0.78</v>
      </c>
      <c r="M4" t="n">
        <v>0.96</v>
      </c>
      <c r="N4" t="n">
        <v>2</v>
      </c>
      <c r="O4" t="n">
        <v>25.5</v>
      </c>
      <c r="P4" t="n">
        <v>5.1e-05</v>
      </c>
    </row>
    <row r="5">
      <c r="A5" t="inlineStr">
        <is>
          <t>09.04 12:00</t>
        </is>
      </c>
      <c r="B5" t="inlineStr">
        <is>
          <t>XRP-USDT</t>
        </is>
      </c>
      <c r="C5" t="inlineStr">
        <is>
          <t>ENTRY</t>
        </is>
      </c>
      <c r="D5" t="inlineStr">
        <is>
          <t>DRIFT</t>
        </is>
      </c>
      <c r="E5" t="inlineStr">
        <is>
          <t>FAST</t>
        </is>
      </c>
      <c r="F5" t="inlineStr">
        <is>
          <t>SHORT</t>
        </is>
      </c>
      <c r="G5" t="n">
        <v>1.3288</v>
      </c>
      <c r="H5" t="n">
        <v>1.3389</v>
      </c>
      <c r="I5" t="n">
        <v>1.3248</v>
      </c>
      <c r="J5" t="n">
        <v>120</v>
      </c>
      <c r="K5" s="2" t="inlineStr">
        <is>
          <t>TIME_EXIT</t>
        </is>
      </c>
      <c r="L5" t="n">
        <v>0.15</v>
      </c>
      <c r="M5" t="n">
        <v>0.34</v>
      </c>
      <c r="N5" t="n">
        <v>0.35</v>
      </c>
      <c r="O5" t="n">
        <v>23</v>
      </c>
      <c r="P5" t="n">
        <v>-9.6e-05</v>
      </c>
    </row>
    <row r="6">
      <c r="A6" t="inlineStr">
        <is>
          <t>09.04 14:00</t>
        </is>
      </c>
      <c r="B6" t="inlineStr">
        <is>
          <t>ETH-USDT</t>
        </is>
      </c>
      <c r="C6" t="inlineStr">
        <is>
          <t>ENTRY</t>
        </is>
      </c>
      <c r="D6" t="inlineStr">
        <is>
          <t>DRIFT</t>
        </is>
      </c>
      <c r="E6" t="inlineStr">
        <is>
          <t>FAST</t>
        </is>
      </c>
      <c r="F6" t="inlineStr">
        <is>
          <t>SHORT</t>
        </is>
      </c>
      <c r="G6" t="n">
        <v>2164.72</v>
      </c>
      <c r="H6" t="n">
        <v>2189.0428</v>
      </c>
      <c r="I6" t="n">
        <v>2154.9909</v>
      </c>
      <c r="J6" t="n">
        <v>120</v>
      </c>
      <c r="K6" s="4" t="inlineStr">
        <is>
          <t>STOP</t>
        </is>
      </c>
      <c r="L6" t="n">
        <v>-1</v>
      </c>
      <c r="M6" t="n">
        <v>0.36</v>
      </c>
      <c r="N6" t="n">
        <v>2.68</v>
      </c>
      <c r="O6" t="n">
        <v>17.8</v>
      </c>
      <c r="P6" t="n">
        <v>7.7e-05</v>
      </c>
    </row>
    <row r="7">
      <c r="A7" t="inlineStr">
        <is>
          <t>09.04 14:30</t>
        </is>
      </c>
      <c r="B7" t="inlineStr">
        <is>
          <t>ETH-USDT</t>
        </is>
      </c>
      <c r="C7" t="inlineStr">
        <is>
          <t>ENTRY</t>
        </is>
      </c>
      <c r="D7" t="inlineStr">
        <is>
          <t>DRIFT</t>
        </is>
      </c>
      <c r="E7" t="inlineStr">
        <is>
          <t>FAST</t>
        </is>
      </c>
      <c r="F7" t="inlineStr">
        <is>
          <t>SHORT</t>
        </is>
      </c>
      <c r="G7" t="n">
        <v>2162.85</v>
      </c>
      <c r="H7" t="n">
        <v>2189.1609</v>
      </c>
      <c r="I7" t="n">
        <v>2152.3256</v>
      </c>
      <c r="J7" t="n">
        <v>120</v>
      </c>
      <c r="K7" s="4" t="inlineStr">
        <is>
          <t>STOP</t>
        </is>
      </c>
      <c r="L7" t="n">
        <v>-1</v>
      </c>
      <c r="M7" t="n">
        <v>0</v>
      </c>
      <c r="N7" t="n">
        <v>2.55</v>
      </c>
      <c r="O7" t="n">
        <v>17.8</v>
      </c>
      <c r="P7" t="n">
        <v>0.0001</v>
      </c>
    </row>
    <row r="8">
      <c r="A8" t="inlineStr">
        <is>
          <t>09.04 17:45</t>
        </is>
      </c>
      <c r="B8" t="inlineStr">
        <is>
          <t>BTC-USDT</t>
        </is>
      </c>
      <c r="C8" t="inlineStr">
        <is>
          <t>ENTRY</t>
        </is>
      </c>
      <c r="D8" t="inlineStr">
        <is>
          <t>TRENDING</t>
        </is>
      </c>
      <c r="E8" t="inlineStr">
        <is>
          <t>SWING</t>
        </is>
      </c>
      <c r="F8" t="inlineStr">
        <is>
          <t>LONG</t>
        </is>
      </c>
      <c r="G8" t="n">
        <v>72377.2</v>
      </c>
      <c r="H8" t="n">
        <v>71573.85430000001</v>
      </c>
      <c r="I8" t="n">
        <v>72646.0747</v>
      </c>
      <c r="J8" t="n">
        <v>240</v>
      </c>
      <c r="K8" s="3" t="inlineStr">
        <is>
          <t>TP</t>
        </is>
      </c>
      <c r="L8" t="n">
        <v>0.33</v>
      </c>
      <c r="M8" t="n">
        <v>0.37</v>
      </c>
      <c r="N8" t="n">
        <v>0.83</v>
      </c>
      <c r="O8" t="n">
        <v>22.4</v>
      </c>
      <c r="P8" t="n">
        <v>7.6e-05</v>
      </c>
    </row>
    <row r="9">
      <c r="A9" t="inlineStr">
        <is>
          <t>09.04 22:30</t>
        </is>
      </c>
      <c r="B9" t="inlineStr">
        <is>
          <t>ETH-USDT</t>
        </is>
      </c>
      <c r="C9" t="inlineStr">
        <is>
          <t>ENTRY</t>
        </is>
      </c>
      <c r="D9" t="inlineStr">
        <is>
          <t>DRIFT</t>
        </is>
      </c>
      <c r="E9" t="inlineStr">
        <is>
          <t>FAST</t>
        </is>
      </c>
      <c r="F9" t="inlineStr">
        <is>
          <t>LONG</t>
        </is>
      </c>
      <c r="G9" t="n">
        <v>2220.77</v>
      </c>
      <c r="H9" t="n">
        <v>2204.801</v>
      </c>
      <c r="I9" t="n">
        <v>2227.1576</v>
      </c>
      <c r="J9" t="n">
        <v>120</v>
      </c>
      <c r="K9" s="4" t="inlineStr">
        <is>
          <t>STOP</t>
        </is>
      </c>
      <c r="L9" t="n">
        <v>-1</v>
      </c>
      <c r="M9" t="n">
        <v>0</v>
      </c>
      <c r="N9" t="n">
        <v>2.49</v>
      </c>
      <c r="O9" t="n">
        <v>17.3</v>
      </c>
      <c r="P9" t="n">
        <v>0.0001</v>
      </c>
    </row>
    <row r="10">
      <c r="A10" t="inlineStr">
        <is>
          <t>09.04 22:30</t>
        </is>
      </c>
      <c r="B10" t="inlineStr">
        <is>
          <t>DOGE-USDT</t>
        </is>
      </c>
      <c r="C10" t="inlineStr">
        <is>
          <t>ENTRY</t>
        </is>
      </c>
      <c r="D10" t="inlineStr">
        <is>
          <t>DRIFT</t>
        </is>
      </c>
      <c r="E10" t="inlineStr">
        <is>
          <t>FAST</t>
        </is>
      </c>
      <c r="F10" t="inlineStr">
        <is>
          <t>LONG</t>
        </is>
      </c>
      <c r="G10" t="n">
        <v>0.09419</v>
      </c>
      <c r="H10" t="n">
        <v>0.0936</v>
      </c>
      <c r="I10" t="n">
        <v>0.0944</v>
      </c>
      <c r="J10" t="n">
        <v>120</v>
      </c>
      <c r="K10" s="4" t="inlineStr">
        <is>
          <t>STOP</t>
        </is>
      </c>
      <c r="L10" t="n">
        <v>-1</v>
      </c>
      <c r="M10" t="n">
        <v>0</v>
      </c>
      <c r="N10" t="n">
        <v>3.69</v>
      </c>
      <c r="O10" t="n">
        <v>20.5</v>
      </c>
      <c r="P10" t="n">
        <v>0.0001</v>
      </c>
    </row>
    <row r="11">
      <c r="A11" t="inlineStr">
        <is>
          <t>09.04 23:00</t>
        </is>
      </c>
      <c r="B11" t="inlineStr">
        <is>
          <t>BTC-USDT</t>
        </is>
      </c>
      <c r="C11" t="inlineStr">
        <is>
          <t>ENTRY</t>
        </is>
      </c>
      <c r="D11" t="inlineStr">
        <is>
          <t>TRENDING</t>
        </is>
      </c>
      <c r="E11" t="inlineStr">
        <is>
          <t>SWING</t>
        </is>
      </c>
      <c r="F11" t="inlineStr">
        <is>
          <t>LONG</t>
        </is>
      </c>
      <c r="G11" t="n">
        <v>71911.2</v>
      </c>
      <c r="H11" t="n">
        <v>71414.5882</v>
      </c>
      <c r="I11" t="n">
        <v>72186.4664</v>
      </c>
      <c r="J11" t="n">
        <v>240</v>
      </c>
      <c r="K11" s="3" t="inlineStr">
        <is>
          <t>TP</t>
        </is>
      </c>
      <c r="L11" t="n">
        <v>0.55</v>
      </c>
      <c r="M11" t="n">
        <v>0.87</v>
      </c>
      <c r="N11" t="n">
        <v>0.74</v>
      </c>
      <c r="O11" t="n">
        <v>23.8</v>
      </c>
      <c r="P11" t="n">
        <v>2.2e-05</v>
      </c>
    </row>
    <row r="12">
      <c r="A12" t="inlineStr">
        <is>
          <t>09.04 23:00</t>
        </is>
      </c>
      <c r="B12" t="inlineStr">
        <is>
          <t>ETH-USDT</t>
        </is>
      </c>
      <c r="C12" t="inlineStr">
        <is>
          <t>ENTRY</t>
        </is>
      </c>
      <c r="D12" t="inlineStr">
        <is>
          <t>TRENDING</t>
        </is>
      </c>
      <c r="E12" t="inlineStr">
        <is>
          <t>SWING</t>
        </is>
      </c>
      <c r="F12" t="inlineStr">
        <is>
          <t>LONG</t>
        </is>
      </c>
      <c r="G12" t="n">
        <v>2196.9</v>
      </c>
      <c r="H12" t="n">
        <v>2178.1576</v>
      </c>
      <c r="I12" t="n">
        <v>2207.7219</v>
      </c>
      <c r="J12" t="n">
        <v>240</v>
      </c>
      <c r="K12" s="4" t="inlineStr">
        <is>
          <t>STOP</t>
        </is>
      </c>
      <c r="L12" t="n">
        <v>-1</v>
      </c>
      <c r="M12" t="n">
        <v>0</v>
      </c>
      <c r="N12" t="n">
        <v>1.18</v>
      </c>
      <c r="O12" t="n">
        <v>18.3</v>
      </c>
      <c r="P12" t="n">
        <v>0.0001</v>
      </c>
    </row>
    <row r="13">
      <c r="A13" t="inlineStr">
        <is>
          <t>10.04 01:00</t>
        </is>
      </c>
      <c r="B13" t="inlineStr">
        <is>
          <t>BTC-USDT</t>
        </is>
      </c>
      <c r="C13" t="inlineStr">
        <is>
          <t>ENTRY</t>
        </is>
      </c>
      <c r="D13" t="inlineStr">
        <is>
          <t>TRENDING</t>
        </is>
      </c>
      <c r="E13" t="inlineStr">
        <is>
          <t>SWING</t>
        </is>
      </c>
      <c r="F13" t="inlineStr">
        <is>
          <t>LONG</t>
        </is>
      </c>
      <c r="G13" t="n">
        <v>71945.60000000001</v>
      </c>
      <c r="H13" t="n">
        <v>71461.2905</v>
      </c>
      <c r="I13" t="n">
        <v>72213.8863</v>
      </c>
      <c r="J13" t="n">
        <v>240</v>
      </c>
      <c r="K13" s="3" t="inlineStr">
        <is>
          <t>TP</t>
        </is>
      </c>
      <c r="L13" t="n">
        <v>0.55</v>
      </c>
      <c r="M13" t="n">
        <v>0.82</v>
      </c>
      <c r="N13" t="n">
        <v>0.65</v>
      </c>
      <c r="O13" t="n">
        <v>23.7</v>
      </c>
      <c r="P13" t="n">
        <v>3.7e-05</v>
      </c>
    </row>
    <row r="14">
      <c r="A14" t="inlineStr">
        <is>
          <t>10.04 01:45</t>
        </is>
      </c>
      <c r="B14" t="inlineStr">
        <is>
          <t>BTC-USDT</t>
        </is>
      </c>
      <c r="C14" t="inlineStr">
        <is>
          <t>ENTRY</t>
        </is>
      </c>
      <c r="D14" t="inlineStr">
        <is>
          <t>TRENDING</t>
        </is>
      </c>
      <c r="E14" t="inlineStr">
        <is>
          <t>SWING</t>
        </is>
      </c>
      <c r="F14" t="inlineStr">
        <is>
          <t>LONG</t>
        </is>
      </c>
      <c r="G14" t="n">
        <v>72272.89999999999</v>
      </c>
      <c r="H14" t="n">
        <v>71456.2684</v>
      </c>
      <c r="I14" t="n">
        <v>72565.70050000001</v>
      </c>
      <c r="J14" t="n">
        <v>240</v>
      </c>
      <c r="K14" s="2" t="inlineStr">
        <is>
          <t>TIME_EXIT</t>
        </is>
      </c>
      <c r="L14" t="n">
        <v>-0.15</v>
      </c>
      <c r="M14" t="n">
        <v>0</v>
      </c>
      <c r="N14" t="n">
        <v>0.6</v>
      </c>
      <c r="O14" t="n">
        <v>23.7</v>
      </c>
      <c r="P14" t="n">
        <v>4.1e-05</v>
      </c>
    </row>
    <row r="15">
      <c r="A15" t="inlineStr">
        <is>
          <t>10.04 05:00</t>
        </is>
      </c>
      <c r="B15" t="inlineStr">
        <is>
          <t>BTC-USDT</t>
        </is>
      </c>
      <c r="C15" t="inlineStr">
        <is>
          <t>ENTRY</t>
        </is>
      </c>
      <c r="D15" t="inlineStr">
        <is>
          <t>TRENDING</t>
        </is>
      </c>
      <c r="E15" t="inlineStr">
        <is>
          <t>SWING</t>
        </is>
      </c>
      <c r="F15" t="inlineStr">
        <is>
          <t>LONG</t>
        </is>
      </c>
      <c r="G15" t="n">
        <v>72086.8</v>
      </c>
      <c r="H15" t="n">
        <v>71718.87880000001</v>
      </c>
      <c r="I15" t="n">
        <v>72336.4084</v>
      </c>
      <c r="J15" t="n">
        <v>240</v>
      </c>
      <c r="K15" s="4" t="inlineStr">
        <is>
          <t>STOP</t>
        </is>
      </c>
      <c r="L15" t="n">
        <v>-1</v>
      </c>
      <c r="M15" t="n">
        <v>0.47</v>
      </c>
      <c r="N15" t="n">
        <v>1.9</v>
      </c>
      <c r="O15" t="n">
        <v>25.6</v>
      </c>
      <c r="P15" t="n">
        <v>3.6e-05</v>
      </c>
    </row>
    <row r="16">
      <c r="A16" t="inlineStr">
        <is>
          <t>10.04 06:45</t>
        </is>
      </c>
      <c r="B16" t="inlineStr">
        <is>
          <t>BTC-USDT</t>
        </is>
      </c>
      <c r="C16" t="inlineStr">
        <is>
          <t>ENTRY</t>
        </is>
      </c>
      <c r="D16" t="inlineStr">
        <is>
          <t>TRENDING</t>
        </is>
      </c>
      <c r="E16" t="inlineStr">
        <is>
          <t>SWING</t>
        </is>
      </c>
      <c r="F16" t="inlineStr">
        <is>
          <t>LONG</t>
        </is>
      </c>
      <c r="G16" t="n">
        <v>71912.89999999999</v>
      </c>
      <c r="H16" t="n">
        <v>71620.0885</v>
      </c>
      <c r="I16" t="n">
        <v>72165.38860000001</v>
      </c>
      <c r="J16" t="n">
        <v>240</v>
      </c>
      <c r="K16" s="4" t="inlineStr">
        <is>
          <t>STOP</t>
        </is>
      </c>
      <c r="L16" t="n">
        <v>-1</v>
      </c>
      <c r="M16" t="n">
        <v>0</v>
      </c>
      <c r="N16" t="n">
        <v>1.79</v>
      </c>
      <c r="O16" t="n">
        <v>26.2</v>
      </c>
      <c r="P16" t="n">
        <v>3.7e-05</v>
      </c>
    </row>
    <row r="17">
      <c r="A17" t="inlineStr">
        <is>
          <t>10.04 11:30</t>
        </is>
      </c>
      <c r="B17" t="inlineStr">
        <is>
          <t>ETH-USDT</t>
        </is>
      </c>
      <c r="C17" t="inlineStr">
        <is>
          <t>ENTRY</t>
        </is>
      </c>
      <c r="D17" t="inlineStr">
        <is>
          <t>DRIFT</t>
        </is>
      </c>
      <c r="E17" t="inlineStr">
        <is>
          <t>FAST</t>
        </is>
      </c>
      <c r="F17" t="inlineStr">
        <is>
          <t>LONG</t>
        </is>
      </c>
      <c r="G17" t="n">
        <v>2216.22</v>
      </c>
      <c r="H17" t="n">
        <v>2188.1533</v>
      </c>
      <c r="I17" t="n">
        <v>2227.4467</v>
      </c>
      <c r="J17" t="n">
        <v>120</v>
      </c>
      <c r="K17" s="3" t="inlineStr">
        <is>
          <t>TP</t>
        </is>
      </c>
      <c r="L17" t="n">
        <v>0.4</v>
      </c>
      <c r="M17" t="n">
        <v>0.42</v>
      </c>
      <c r="N17" t="n">
        <v>0.35</v>
      </c>
      <c r="O17" t="n">
        <v>16.2</v>
      </c>
      <c r="P17" t="n">
        <v>0.0001</v>
      </c>
    </row>
    <row r="18">
      <c r="A18" t="inlineStr">
        <is>
          <t>10.04 12:45</t>
        </is>
      </c>
      <c r="B18" t="inlineStr">
        <is>
          <t>ETH-USDT</t>
        </is>
      </c>
      <c r="C18" t="inlineStr">
        <is>
          <t>ENTRY</t>
        </is>
      </c>
      <c r="D18" t="inlineStr">
        <is>
          <t>DRIFT</t>
        </is>
      </c>
      <c r="E18" t="inlineStr">
        <is>
          <t>FAST</t>
        </is>
      </c>
      <c r="F18" t="inlineStr">
        <is>
          <t>LONG</t>
        </is>
      </c>
      <c r="G18" t="n">
        <v>2223.49</v>
      </c>
      <c r="H18" t="n">
        <v>2187.8696</v>
      </c>
      <c r="I18" t="n">
        <v>2237.7382</v>
      </c>
      <c r="J18" t="n">
        <v>120</v>
      </c>
      <c r="K18" s="3" t="inlineStr">
        <is>
          <t>TP</t>
        </is>
      </c>
      <c r="L18" t="n">
        <v>0.4</v>
      </c>
      <c r="M18" t="n">
        <v>0.61</v>
      </c>
      <c r="N18" t="n">
        <v>0.46</v>
      </c>
      <c r="O18" t="n">
        <v>17.6</v>
      </c>
      <c r="P18" t="n">
        <v>6.4e-05</v>
      </c>
    </row>
    <row r="19">
      <c r="A19" t="inlineStr">
        <is>
          <t>10.04 16:45</t>
        </is>
      </c>
      <c r="B19" t="inlineStr">
        <is>
          <t>XRP-USDT</t>
        </is>
      </c>
      <c r="C19" s="5" t="inlineStr">
        <is>
          <t>BB FADE</t>
        </is>
      </c>
      <c r="D19" t="inlineStr">
        <is>
          <t>DRIFT</t>
        </is>
      </c>
      <c r="E19" t="inlineStr">
        <is>
          <t>FADE</t>
        </is>
      </c>
      <c r="F19" t="inlineStr">
        <is>
          <t>LONG</t>
        </is>
      </c>
      <c r="G19" t="n">
        <v>1.3474</v>
      </c>
      <c r="H19" t="n">
        <v>1.344371428571429</v>
      </c>
      <c r="I19" t="n">
        <v>1.352255</v>
      </c>
      <c r="J19" t="n">
        <v>60</v>
      </c>
      <c r="K19" s="3" t="inlineStr">
        <is>
          <t>TP</t>
        </is>
      </c>
      <c r="L19" t="n">
        <v>1.6</v>
      </c>
      <c r="M19" t="n">
        <v>1.65</v>
      </c>
      <c r="N19" t="n">
        <v>0</v>
      </c>
      <c r="O19" t="n">
        <v>14.5</v>
      </c>
      <c r="P19" t="n">
        <v>9.899999999999999e-05</v>
      </c>
    </row>
    <row r="20">
      <c r="A20" t="inlineStr">
        <is>
          <t>10.04 18:00</t>
        </is>
      </c>
      <c r="B20" t="inlineStr">
        <is>
          <t>XRP-USDT</t>
        </is>
      </c>
      <c r="C20" s="5" t="inlineStr">
        <is>
          <t>BB FADE</t>
        </is>
      </c>
      <c r="D20" t="inlineStr">
        <is>
          <t>DRIFT</t>
        </is>
      </c>
      <c r="E20" t="inlineStr">
        <is>
          <t>FADE</t>
        </is>
      </c>
      <c r="F20" t="inlineStr">
        <is>
          <t>SHORT</t>
        </is>
      </c>
      <c r="G20" t="n">
        <v>1.3548</v>
      </c>
      <c r="H20" t="n">
        <v>1.357035714285714</v>
      </c>
      <c r="I20" t="n">
        <v>1.35125</v>
      </c>
      <c r="J20" t="n">
        <v>60</v>
      </c>
      <c r="K20" s="4" t="inlineStr">
        <is>
          <t>STOP</t>
        </is>
      </c>
      <c r="L20" t="n">
        <v>-1</v>
      </c>
      <c r="M20" t="n">
        <v>1.3</v>
      </c>
      <c r="N20" t="n">
        <v>2.42</v>
      </c>
      <c r="O20" t="n">
        <v>18</v>
      </c>
      <c r="P20" t="n">
        <v>0.0001</v>
      </c>
    </row>
    <row r="21">
      <c r="A21" t="inlineStr">
        <is>
          <t>10.04 19:30</t>
        </is>
      </c>
      <c r="B21" t="inlineStr">
        <is>
          <t>XRP-USDT</t>
        </is>
      </c>
      <c r="C21" s="5" t="inlineStr">
        <is>
          <t>BB FADE</t>
        </is>
      </c>
      <c r="D21" t="inlineStr">
        <is>
          <t>DRIFT</t>
        </is>
      </c>
      <c r="E21" t="inlineStr">
        <is>
          <t>FADE</t>
        </is>
      </c>
      <c r="F21" t="inlineStr">
        <is>
          <t>SHORT</t>
        </is>
      </c>
      <c r="G21" t="n">
        <v>1.3617</v>
      </c>
      <c r="H21" t="n">
        <v>1.363742857142857</v>
      </c>
      <c r="I21" t="n">
        <v>1.3569</v>
      </c>
      <c r="J21" t="n">
        <v>60</v>
      </c>
      <c r="K21" s="4" t="inlineStr">
        <is>
          <t>STOP</t>
        </is>
      </c>
      <c r="L21" t="n">
        <v>-1</v>
      </c>
      <c r="M21" t="n">
        <v>1.32</v>
      </c>
      <c r="N21" t="n">
        <v>1.86</v>
      </c>
      <c r="O21" t="n">
        <v>20</v>
      </c>
      <c r="P21" t="n">
        <v>0.0001</v>
      </c>
    </row>
    <row r="22">
      <c r="A22" t="inlineStr">
        <is>
          <t>11.04 01:30</t>
        </is>
      </c>
      <c r="B22" t="inlineStr">
        <is>
          <t>DOGE-USDT</t>
        </is>
      </c>
      <c r="C22" t="inlineStr">
        <is>
          <t>ENTRY</t>
        </is>
      </c>
      <c r="D22" t="inlineStr">
        <is>
          <t>TRENDING</t>
        </is>
      </c>
      <c r="E22" t="inlineStr">
        <is>
          <t>SWING</t>
        </is>
      </c>
      <c r="F22" t="inlineStr">
        <is>
          <t>LONG</t>
        </is>
      </c>
      <c r="G22" t="n">
        <v>0.09344</v>
      </c>
      <c r="H22" t="n">
        <v>0.0929</v>
      </c>
      <c r="I22" t="n">
        <v>0.09379999999999999</v>
      </c>
      <c r="J22" t="n">
        <v>240</v>
      </c>
      <c r="K22" t="inlineStr"/>
      <c r="O22" t="n">
        <v>33.3</v>
      </c>
      <c r="P22" t="n">
        <v>0.0001</v>
      </c>
    </row>
    <row r="23">
      <c r="A23" t="inlineStr">
        <is>
          <t>11.04 02:45</t>
        </is>
      </c>
      <c r="B23" t="inlineStr">
        <is>
          <t>DOGE-USDT</t>
        </is>
      </c>
      <c r="C23" t="inlineStr">
        <is>
          <t>ENTRY</t>
        </is>
      </c>
      <c r="D23" t="inlineStr">
        <is>
          <t>TRENDING</t>
        </is>
      </c>
      <c r="E23" t="inlineStr">
        <is>
          <t>FAST</t>
        </is>
      </c>
      <c r="F23" t="inlineStr">
        <is>
          <t>LONG</t>
        </is>
      </c>
      <c r="G23" t="n">
        <v>0.09368</v>
      </c>
      <c r="H23" t="n">
        <v>0.09320000000000001</v>
      </c>
      <c r="I23" t="n">
        <v>0.0941</v>
      </c>
      <c r="J23" t="n">
        <v>240</v>
      </c>
      <c r="K23" t="inlineStr"/>
      <c r="O23" t="n">
        <v>33</v>
      </c>
      <c r="P23" t="n">
        <v>9.399999999999999e-05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4" customWidth="1" min="3" max="3"/>
    <col width="12" customWidth="1" min="4" max="4"/>
    <col width="9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7" customWidth="1" min="11" max="11"/>
    <col width="7" customWidth="1" min="12" max="12"/>
    <col width="11" customWidth="1" min="13" max="13"/>
    <col width="12" customWidth="1" min="14" max="14"/>
    <col width="14" customWidth="1" min="15" max="15"/>
    <col width="9" customWidth="1" min="16" max="16"/>
    <col width="7" customWidth="1" min="17" max="17"/>
    <col width="10" customWidth="1" min="18" max="18"/>
    <col width="10" customWidth="1" min="19" max="19"/>
    <col width="12" customWidth="1" min="20" max="20"/>
  </cols>
  <sheetData>
    <row r="1">
      <c r="A1" s="6" t="inlineStr">
        <is>
          <t>Нотионал$</t>
        </is>
      </c>
      <c r="B1" s="6" t="inlineStr">
        <is>
          <t>Плечо</t>
        </is>
      </c>
      <c r="C1" s="1" t="inlineStr">
        <is>
          <t>Дата</t>
        </is>
      </c>
      <c r="D1" s="1" t="inlineStr">
        <is>
          <t>Пара</t>
        </is>
      </c>
      <c r="E1" s="1" t="inlineStr">
        <is>
          <t>Канал</t>
        </is>
      </c>
      <c r="F1" s="1" t="inlineStr">
        <is>
          <t>Сторона</t>
        </is>
      </c>
      <c r="G1" s="1" t="inlineStr">
        <is>
          <t>Вход</t>
        </is>
      </c>
      <c r="H1" s="1" t="inlineStr">
        <is>
          <t>SL</t>
        </is>
      </c>
      <c r="I1" s="1" t="inlineStr">
        <is>
          <t>TP</t>
        </is>
      </c>
      <c r="J1" s="1" t="inlineStr">
        <is>
          <t>Исход</t>
        </is>
      </c>
      <c r="K1" s="1" t="inlineStr">
        <is>
          <t>R</t>
        </is>
      </c>
      <c r="L1" s="1" t="inlineStr">
        <is>
          <t>MAE_R</t>
        </is>
      </c>
      <c r="M1" s="1" t="inlineStr">
        <is>
          <t>Маржа$</t>
        </is>
      </c>
      <c r="N1" s="1" t="inlineStr">
        <is>
          <t>Цена ликв.</t>
        </is>
      </c>
      <c r="O1" s="1" t="inlineStr">
        <is>
          <t>Реальный исход</t>
        </is>
      </c>
      <c r="P1" s="1" t="inlineStr">
        <is>
          <t>P&amp;L$</t>
        </is>
      </c>
      <c r="Q1" s="1" t="inlineStr">
        <is>
          <t>P&amp;L%</t>
        </is>
      </c>
      <c r="R1" s="1" t="inlineStr">
        <is>
          <t>Комиссия$</t>
        </is>
      </c>
      <c r="S1" s="1" t="inlineStr">
        <is>
          <t>Финанс.$</t>
        </is>
      </c>
      <c r="T1" s="1" t="inlineStr">
        <is>
          <t>Чистый P&amp;L$</t>
        </is>
      </c>
    </row>
    <row r="2">
      <c r="A2" s="7" t="n">
        <v>1000</v>
      </c>
      <c r="B2" s="7" t="n">
        <v>10</v>
      </c>
      <c r="C2" t="inlineStr">
        <is>
          <t>09.04 05:30</t>
        </is>
      </c>
      <c r="D2" t="inlineStr">
        <is>
          <t>DOGE-USDT</t>
        </is>
      </c>
      <c r="E2" t="inlineStr">
        <is>
          <t>ENTRY</t>
        </is>
      </c>
      <c r="F2" t="inlineStr">
        <is>
          <t>SHORT</t>
        </is>
      </c>
      <c r="G2" t="n">
        <v>0.09121</v>
      </c>
      <c r="H2" t="n">
        <v>0.0919</v>
      </c>
      <c r="I2" t="n">
        <v>0.09089999999999999</v>
      </c>
      <c r="J2" s="2" t="inlineStr">
        <is>
          <t>TIME_EXIT</t>
        </is>
      </c>
      <c r="K2" t="n">
        <v>-0.48</v>
      </c>
      <c r="L2" t="n">
        <v>0.64</v>
      </c>
      <c r="M2">
        <f>A2/B2</f>
        <v/>
      </c>
      <c r="N2">
        <f>IF(F2="LONG",G2*(1-1/B2+0.0055),G2*(1+1/B2-0.0055))</f>
        <v/>
      </c>
      <c r="O2">
        <f>IF(J2="","",IF(AND(L2&lt;&gt;"",F2="LONG",G2-L2*ABS(G2-H2)&lt;=N2),"ЛИКВИДАЦИЯ",IF(AND(L2&lt;&gt;"",F2="SHORT",G2+L2*ABS(H2-G2)&gt;=N2),"ЛИКВИДАЦИЯ",J2)))</f>
        <v/>
      </c>
      <c r="P2">
        <f>IF(OR(O2="",K2=""),"",IF(O2="ЛИКВИДАЦИЯ",-M2,A2*ABS(G2-H2)/G2*K2))</f>
        <v/>
      </c>
      <c r="Q2">
        <f>IF(OR(P2="",M2=0),"",P2/M2*100)</f>
        <v/>
      </c>
      <c r="R2">
        <f>IF(M2="","",A2*0.001)</f>
        <v/>
      </c>
      <c r="S2">
        <f>IF(M2="","",A2*-8.7e-05)</f>
        <v/>
      </c>
      <c r="T2">
        <f>IF(P2="","",P2-R2-S2)</f>
        <v/>
      </c>
    </row>
    <row r="3">
      <c r="A3" s="7" t="n">
        <v>1000</v>
      </c>
      <c r="B3" s="7" t="n">
        <v>10</v>
      </c>
      <c r="C3" t="inlineStr">
        <is>
          <t>09.04 11:15</t>
        </is>
      </c>
      <c r="D3" t="inlineStr">
        <is>
          <t>XRP-USDT</t>
        </is>
      </c>
      <c r="E3" t="inlineStr">
        <is>
          <t>ENTRY</t>
        </is>
      </c>
      <c r="F3" t="inlineStr">
        <is>
          <t>SHORT</t>
        </is>
      </c>
      <c r="G3" t="n">
        <v>1.3318</v>
      </c>
      <c r="H3" t="n">
        <v>1.3389</v>
      </c>
      <c r="I3" t="n">
        <v>1.329</v>
      </c>
      <c r="J3" s="3" t="inlineStr">
        <is>
          <t>TP</t>
        </is>
      </c>
      <c r="K3" t="n">
        <v>0.39</v>
      </c>
      <c r="L3" t="n">
        <v>0.07000000000000001</v>
      </c>
      <c r="M3">
        <f>A3/B3</f>
        <v/>
      </c>
      <c r="N3">
        <f>IF(F3="LONG",G3*(1-1/B3+0.0055),G3*(1+1/B3-0.0055))</f>
        <v/>
      </c>
      <c r="O3">
        <f>IF(J3="","",IF(AND(L3&lt;&gt;"",F3="LONG",G3-L3*ABS(G3-H3)&lt;=N3),"ЛИКВИДАЦИЯ",IF(AND(L3&lt;&gt;"",F3="SHORT",G3+L3*ABS(H3-G3)&gt;=N3),"ЛИКВИДАЦИЯ",J3)))</f>
        <v/>
      </c>
      <c r="P3">
        <f>IF(OR(O3="",K3=""),"",IF(O3="ЛИКВИДАЦИЯ",-M3,A3*ABS(G3-H3)/G3*K3))</f>
        <v/>
      </c>
      <c r="Q3">
        <f>IF(OR(P3="",M3=0),"",P3/M3*100)</f>
        <v/>
      </c>
      <c r="R3">
        <f>IF(M3="","",A3*0.001)</f>
        <v/>
      </c>
      <c r="S3">
        <f>IF(M3="","",A3*-0.000102)</f>
        <v/>
      </c>
      <c r="T3">
        <f>IF(P3="","",P3-R3-S3)</f>
        <v/>
      </c>
    </row>
    <row r="4">
      <c r="A4" s="7" t="n">
        <v>1000</v>
      </c>
      <c r="B4" s="7" t="n">
        <v>10</v>
      </c>
      <c r="C4" t="inlineStr">
        <is>
          <t>09.04 11:30</t>
        </is>
      </c>
      <c r="D4" t="inlineStr">
        <is>
          <t>BTC-USDT</t>
        </is>
      </c>
      <c r="E4" t="inlineStr">
        <is>
          <t>ENTRY</t>
        </is>
      </c>
      <c r="F4" t="inlineStr">
        <is>
          <t>LONG</t>
        </is>
      </c>
      <c r="G4" t="n">
        <v>71054.60000000001</v>
      </c>
      <c r="H4" t="n">
        <v>70780.43459999999</v>
      </c>
      <c r="I4" t="n">
        <v>71267.28780000001</v>
      </c>
      <c r="J4" s="3" t="inlineStr">
        <is>
          <t>TP</t>
        </is>
      </c>
      <c r="K4" t="n">
        <v>0.78</v>
      </c>
      <c r="L4" t="n">
        <v>2</v>
      </c>
      <c r="M4">
        <f>A4/B4</f>
        <v/>
      </c>
      <c r="N4">
        <f>IF(F4="LONG",G4*(1-1/B4+0.0055),G4*(1+1/B4-0.0055))</f>
        <v/>
      </c>
      <c r="O4">
        <f>IF(J4="","",IF(AND(L4&lt;&gt;"",F4="LONG",G4-L4*ABS(G4-H4)&lt;=N4),"ЛИКВИДАЦИЯ",IF(AND(L4&lt;&gt;"",F4="SHORT",G4+L4*ABS(H4-G4)&gt;=N4),"ЛИКВИДАЦИЯ",J4)))</f>
        <v/>
      </c>
      <c r="P4">
        <f>IF(OR(O4="",K4=""),"",IF(O4="ЛИКВИДАЦИЯ",-M4,A4*ABS(G4-H4)/G4*K4))</f>
        <v/>
      </c>
      <c r="Q4">
        <f>IF(OR(P4="",M4=0),"",P4/M4*100)</f>
        <v/>
      </c>
      <c r="R4">
        <f>IF(M4="","",A4*0.001)</f>
        <v/>
      </c>
      <c r="S4">
        <f>IF(M4="","",A4*5.1e-05)</f>
        <v/>
      </c>
      <c r="T4">
        <f>IF(P4="","",P4-R4-S4)</f>
        <v/>
      </c>
    </row>
    <row r="5">
      <c r="A5" s="7" t="n">
        <v>1000</v>
      </c>
      <c r="B5" s="7" t="n">
        <v>10</v>
      </c>
      <c r="C5" t="inlineStr">
        <is>
          <t>09.04 12:00</t>
        </is>
      </c>
      <c r="D5" t="inlineStr">
        <is>
          <t>XRP-USDT</t>
        </is>
      </c>
      <c r="E5" t="inlineStr">
        <is>
          <t>ENTRY</t>
        </is>
      </c>
      <c r="F5" t="inlineStr">
        <is>
          <t>SHORT</t>
        </is>
      </c>
      <c r="G5" t="n">
        <v>1.3288</v>
      </c>
      <c r="H5" t="n">
        <v>1.3389</v>
      </c>
      <c r="I5" t="n">
        <v>1.3248</v>
      </c>
      <c r="J5" s="2" t="inlineStr">
        <is>
          <t>TIME_EXIT</t>
        </is>
      </c>
      <c r="K5" t="n">
        <v>0.15</v>
      </c>
      <c r="L5" t="n">
        <v>0.35</v>
      </c>
      <c r="M5">
        <f>A5/B5</f>
        <v/>
      </c>
      <c r="N5">
        <f>IF(F5="LONG",G5*(1-1/B5+0.0055),G5*(1+1/B5-0.0055))</f>
        <v/>
      </c>
      <c r="O5">
        <f>IF(J5="","",IF(AND(L5&lt;&gt;"",F5="LONG",G5-L5*ABS(G5-H5)&lt;=N5),"ЛИКВИДАЦИЯ",IF(AND(L5&lt;&gt;"",F5="SHORT",G5+L5*ABS(H5-G5)&gt;=N5),"ЛИКВИДАЦИЯ",J5)))</f>
        <v/>
      </c>
      <c r="P5">
        <f>IF(OR(O5="",K5=""),"",IF(O5="ЛИКВИДАЦИЯ",-M5,A5*ABS(G5-H5)/G5*K5))</f>
        <v/>
      </c>
      <c r="Q5">
        <f>IF(OR(P5="",M5=0),"",P5/M5*100)</f>
        <v/>
      </c>
      <c r="R5">
        <f>IF(M5="","",A5*0.001)</f>
        <v/>
      </c>
      <c r="S5">
        <f>IF(M5="","",A5*-9.6e-05)</f>
        <v/>
      </c>
      <c r="T5">
        <f>IF(P5="","",P5-R5-S5)</f>
        <v/>
      </c>
    </row>
    <row r="6">
      <c r="A6" s="7" t="n">
        <v>1000</v>
      </c>
      <c r="B6" s="7" t="n">
        <v>10</v>
      </c>
      <c r="C6" t="inlineStr">
        <is>
          <t>09.04 14:00</t>
        </is>
      </c>
      <c r="D6" t="inlineStr">
        <is>
          <t>ETH-USDT</t>
        </is>
      </c>
      <c r="E6" t="inlineStr">
        <is>
          <t>ENTRY</t>
        </is>
      </c>
      <c r="F6" t="inlineStr">
        <is>
          <t>SHORT</t>
        </is>
      </c>
      <c r="G6" t="n">
        <v>2164.72</v>
      </c>
      <c r="H6" t="n">
        <v>2189.0428</v>
      </c>
      <c r="I6" t="n">
        <v>2154.9909</v>
      </c>
      <c r="J6" s="4" t="inlineStr">
        <is>
          <t>STOP</t>
        </is>
      </c>
      <c r="K6" t="n">
        <v>-1</v>
      </c>
      <c r="L6" t="n">
        <v>2.68</v>
      </c>
      <c r="M6">
        <f>A6/B6</f>
        <v/>
      </c>
      <c r="N6">
        <f>IF(F6="LONG",G6*(1-1/B6+0.0055),G6*(1+1/B6-0.0055))</f>
        <v/>
      </c>
      <c r="O6">
        <f>IF(J6="","",IF(AND(L6&lt;&gt;"",F6="LONG",G6-L6*ABS(G6-H6)&lt;=N6),"ЛИКВИДАЦИЯ",IF(AND(L6&lt;&gt;"",F6="SHORT",G6+L6*ABS(H6-G6)&gt;=N6),"ЛИКВИДАЦИЯ",J6)))</f>
        <v/>
      </c>
      <c r="P6">
        <f>IF(OR(O6="",K6=""),"",IF(O6="ЛИКВИДАЦИЯ",-M6,A6*ABS(G6-H6)/G6*K6))</f>
        <v/>
      </c>
      <c r="Q6">
        <f>IF(OR(P6="",M6=0),"",P6/M6*100)</f>
        <v/>
      </c>
      <c r="R6">
        <f>IF(M6="","",A6*0.001)</f>
        <v/>
      </c>
      <c r="S6">
        <f>IF(M6="","",A6*7.7e-05)</f>
        <v/>
      </c>
      <c r="T6">
        <f>IF(P6="","",P6-R6-S6)</f>
        <v/>
      </c>
    </row>
    <row r="7">
      <c r="A7" s="7" t="n">
        <v>1000</v>
      </c>
      <c r="B7" s="7" t="n">
        <v>10</v>
      </c>
      <c r="C7" t="inlineStr">
        <is>
          <t>09.04 14:30</t>
        </is>
      </c>
      <c r="D7" t="inlineStr">
        <is>
          <t>ETH-USDT</t>
        </is>
      </c>
      <c r="E7" t="inlineStr">
        <is>
          <t>ENTRY</t>
        </is>
      </c>
      <c r="F7" t="inlineStr">
        <is>
          <t>SHORT</t>
        </is>
      </c>
      <c r="G7" t="n">
        <v>2162.85</v>
      </c>
      <c r="H7" t="n">
        <v>2189.1609</v>
      </c>
      <c r="I7" t="n">
        <v>2152.3256</v>
      </c>
      <c r="J7" s="4" t="inlineStr">
        <is>
          <t>STOP</t>
        </is>
      </c>
      <c r="K7" t="n">
        <v>-1</v>
      </c>
      <c r="L7" t="n">
        <v>2.55</v>
      </c>
      <c r="M7">
        <f>A7/B7</f>
        <v/>
      </c>
      <c r="N7">
        <f>IF(F7="LONG",G7*(1-1/B7+0.0055),G7*(1+1/B7-0.0055))</f>
        <v/>
      </c>
      <c r="O7">
        <f>IF(J7="","",IF(AND(L7&lt;&gt;"",F7="LONG",G7-L7*ABS(G7-H7)&lt;=N7),"ЛИКВИДАЦИЯ",IF(AND(L7&lt;&gt;"",F7="SHORT",G7+L7*ABS(H7-G7)&gt;=N7),"ЛИКВИДАЦИЯ",J7)))</f>
        <v/>
      </c>
      <c r="P7">
        <f>IF(OR(O7="",K7=""),"",IF(O7="ЛИКВИДАЦИЯ",-M7,A7*ABS(G7-H7)/G7*K7))</f>
        <v/>
      </c>
      <c r="Q7">
        <f>IF(OR(P7="",M7=0),"",P7/M7*100)</f>
        <v/>
      </c>
      <c r="R7">
        <f>IF(M7="","",A7*0.001)</f>
        <v/>
      </c>
      <c r="S7">
        <f>IF(M7="","",A7*0.0001)</f>
        <v/>
      </c>
      <c r="T7">
        <f>IF(P7="","",P7-R7-S7)</f>
        <v/>
      </c>
    </row>
    <row r="8">
      <c r="A8" s="7" t="n">
        <v>1000</v>
      </c>
      <c r="B8" s="7" t="n">
        <v>10</v>
      </c>
      <c r="C8" t="inlineStr">
        <is>
          <t>09.04 17:45</t>
        </is>
      </c>
      <c r="D8" t="inlineStr">
        <is>
          <t>BTC-USDT</t>
        </is>
      </c>
      <c r="E8" t="inlineStr">
        <is>
          <t>ENTRY</t>
        </is>
      </c>
      <c r="F8" t="inlineStr">
        <is>
          <t>LONG</t>
        </is>
      </c>
      <c r="G8" t="n">
        <v>72377.2</v>
      </c>
      <c r="H8" t="n">
        <v>71573.85430000001</v>
      </c>
      <c r="I8" t="n">
        <v>72646.0747</v>
      </c>
      <c r="J8" s="3" t="inlineStr">
        <is>
          <t>TP</t>
        </is>
      </c>
      <c r="K8" t="n">
        <v>0.33</v>
      </c>
      <c r="L8" t="n">
        <v>0.83</v>
      </c>
      <c r="M8">
        <f>A8/B8</f>
        <v/>
      </c>
      <c r="N8">
        <f>IF(F8="LONG",G8*(1-1/B8+0.0055),G8*(1+1/B8-0.0055))</f>
        <v/>
      </c>
      <c r="O8">
        <f>IF(J8="","",IF(AND(L8&lt;&gt;"",F8="LONG",G8-L8*ABS(G8-H8)&lt;=N8),"ЛИКВИДАЦИЯ",IF(AND(L8&lt;&gt;"",F8="SHORT",G8+L8*ABS(H8-G8)&gt;=N8),"ЛИКВИДАЦИЯ",J8)))</f>
        <v/>
      </c>
      <c r="P8">
        <f>IF(OR(O8="",K8=""),"",IF(O8="ЛИКВИДАЦИЯ",-M8,A8*ABS(G8-H8)/G8*K8))</f>
        <v/>
      </c>
      <c r="Q8">
        <f>IF(OR(P8="",M8=0),"",P8/M8*100)</f>
        <v/>
      </c>
      <c r="R8">
        <f>IF(M8="","",A8*0.001)</f>
        <v/>
      </c>
      <c r="S8">
        <f>IF(M8="","",A8*7.6e-05)</f>
        <v/>
      </c>
      <c r="T8">
        <f>IF(P8="","",P8-R8-S8)</f>
        <v/>
      </c>
    </row>
    <row r="9">
      <c r="A9" s="7" t="n">
        <v>1000</v>
      </c>
      <c r="B9" s="7" t="n">
        <v>10</v>
      </c>
      <c r="C9" t="inlineStr">
        <is>
          <t>09.04 22:30</t>
        </is>
      </c>
      <c r="D9" t="inlineStr">
        <is>
          <t>ETH-USDT</t>
        </is>
      </c>
      <c r="E9" t="inlineStr">
        <is>
          <t>ENTRY</t>
        </is>
      </c>
      <c r="F9" t="inlineStr">
        <is>
          <t>LONG</t>
        </is>
      </c>
      <c r="G9" t="n">
        <v>2220.77</v>
      </c>
      <c r="H9" t="n">
        <v>2204.801</v>
      </c>
      <c r="I9" t="n">
        <v>2227.1576</v>
      </c>
      <c r="J9" s="4" t="inlineStr">
        <is>
          <t>STOP</t>
        </is>
      </c>
      <c r="K9" t="n">
        <v>-1</v>
      </c>
      <c r="L9" t="n">
        <v>2.49</v>
      </c>
      <c r="M9">
        <f>A9/B9</f>
        <v/>
      </c>
      <c r="N9">
        <f>IF(F9="LONG",G9*(1-1/B9+0.0055),G9*(1+1/B9-0.0055))</f>
        <v/>
      </c>
      <c r="O9">
        <f>IF(J9="","",IF(AND(L9&lt;&gt;"",F9="LONG",G9-L9*ABS(G9-H9)&lt;=N9),"ЛИКВИДАЦИЯ",IF(AND(L9&lt;&gt;"",F9="SHORT",G9+L9*ABS(H9-G9)&gt;=N9),"ЛИКВИДАЦИЯ",J9)))</f>
        <v/>
      </c>
      <c r="P9">
        <f>IF(OR(O9="",K9=""),"",IF(O9="ЛИКВИДАЦИЯ",-M9,A9*ABS(G9-H9)/G9*K9))</f>
        <v/>
      </c>
      <c r="Q9">
        <f>IF(OR(P9="",M9=0),"",P9/M9*100)</f>
        <v/>
      </c>
      <c r="R9">
        <f>IF(M9="","",A9*0.001)</f>
        <v/>
      </c>
      <c r="S9">
        <f>IF(M9="","",A9*0.0001)</f>
        <v/>
      </c>
      <c r="T9">
        <f>IF(P9="","",P9-R9-S9)</f>
        <v/>
      </c>
    </row>
    <row r="10">
      <c r="A10" s="7" t="n">
        <v>1000</v>
      </c>
      <c r="B10" s="7" t="n">
        <v>10</v>
      </c>
      <c r="C10" t="inlineStr">
        <is>
          <t>09.04 22:30</t>
        </is>
      </c>
      <c r="D10" t="inlineStr">
        <is>
          <t>DOGE-USDT</t>
        </is>
      </c>
      <c r="E10" t="inlineStr">
        <is>
          <t>ENTRY</t>
        </is>
      </c>
      <c r="F10" t="inlineStr">
        <is>
          <t>LONG</t>
        </is>
      </c>
      <c r="G10" t="n">
        <v>0.09419</v>
      </c>
      <c r="H10" t="n">
        <v>0.0936</v>
      </c>
      <c r="I10" t="n">
        <v>0.0944</v>
      </c>
      <c r="J10" s="4" t="inlineStr">
        <is>
          <t>STOP</t>
        </is>
      </c>
      <c r="K10" t="n">
        <v>-1</v>
      </c>
      <c r="L10" t="n">
        <v>3.69</v>
      </c>
      <c r="M10">
        <f>A10/B10</f>
        <v/>
      </c>
      <c r="N10">
        <f>IF(F10="LONG",G10*(1-1/B10+0.0055),G10*(1+1/B10-0.0055))</f>
        <v/>
      </c>
      <c r="O10">
        <f>IF(J10="","",IF(AND(L10&lt;&gt;"",F10="LONG",G10-L10*ABS(G10-H10)&lt;=N10),"ЛИКВИДАЦИЯ",IF(AND(L10&lt;&gt;"",F10="SHORT",G10+L10*ABS(H10-G10)&gt;=N10),"ЛИКВИДАЦИЯ",J10)))</f>
        <v/>
      </c>
      <c r="P10">
        <f>IF(OR(O10="",K10=""),"",IF(O10="ЛИКВИДАЦИЯ",-M10,A10*ABS(G10-H10)/G10*K10))</f>
        <v/>
      </c>
      <c r="Q10">
        <f>IF(OR(P10="",M10=0),"",P10/M10*100)</f>
        <v/>
      </c>
      <c r="R10">
        <f>IF(M10="","",A10*0.001)</f>
        <v/>
      </c>
      <c r="S10">
        <f>IF(M10="","",A10*0.0001)</f>
        <v/>
      </c>
      <c r="T10">
        <f>IF(P10="","",P10-R10-S10)</f>
        <v/>
      </c>
    </row>
    <row r="11">
      <c r="A11" s="7" t="n">
        <v>1000</v>
      </c>
      <c r="B11" s="7" t="n">
        <v>10</v>
      </c>
      <c r="C11" t="inlineStr">
        <is>
          <t>09.04 23:00</t>
        </is>
      </c>
      <c r="D11" t="inlineStr">
        <is>
          <t>BTC-USDT</t>
        </is>
      </c>
      <c r="E11" t="inlineStr">
        <is>
          <t>ENTRY</t>
        </is>
      </c>
      <c r="F11" t="inlineStr">
        <is>
          <t>LONG</t>
        </is>
      </c>
      <c r="G11" t="n">
        <v>71911.2</v>
      </c>
      <c r="H11" t="n">
        <v>71414.5882</v>
      </c>
      <c r="I11" t="n">
        <v>72186.4664</v>
      </c>
      <c r="J11" s="3" t="inlineStr">
        <is>
          <t>TP</t>
        </is>
      </c>
      <c r="K11" t="n">
        <v>0.55</v>
      </c>
      <c r="L11" t="n">
        <v>0.74</v>
      </c>
      <c r="M11">
        <f>A11/B11</f>
        <v/>
      </c>
      <c r="N11">
        <f>IF(F11="LONG",G11*(1-1/B11+0.0055),G11*(1+1/B11-0.0055))</f>
        <v/>
      </c>
      <c r="O11">
        <f>IF(J11="","",IF(AND(L11&lt;&gt;"",F11="LONG",G11-L11*ABS(G11-H11)&lt;=N11),"ЛИКВИДАЦИЯ",IF(AND(L11&lt;&gt;"",F11="SHORT",G11+L11*ABS(H11-G11)&gt;=N11),"ЛИКВИДАЦИЯ",J11)))</f>
        <v/>
      </c>
      <c r="P11">
        <f>IF(OR(O11="",K11=""),"",IF(O11="ЛИКВИДАЦИЯ",-M11,A11*ABS(G11-H11)/G11*K11))</f>
        <v/>
      </c>
      <c r="Q11">
        <f>IF(OR(P11="",M11=0),"",P11/M11*100)</f>
        <v/>
      </c>
      <c r="R11">
        <f>IF(M11="","",A11*0.001)</f>
        <v/>
      </c>
      <c r="S11">
        <f>IF(M11="","",A11*2.2e-05)</f>
        <v/>
      </c>
      <c r="T11">
        <f>IF(P11="","",P11-R11-S11)</f>
        <v/>
      </c>
    </row>
    <row r="12">
      <c r="A12" s="7" t="n">
        <v>1000</v>
      </c>
      <c r="B12" s="7" t="n">
        <v>10</v>
      </c>
      <c r="C12" t="inlineStr">
        <is>
          <t>09.04 23:00</t>
        </is>
      </c>
      <c r="D12" t="inlineStr">
        <is>
          <t>ETH-USDT</t>
        </is>
      </c>
      <c r="E12" t="inlineStr">
        <is>
          <t>ENTRY</t>
        </is>
      </c>
      <c r="F12" t="inlineStr">
        <is>
          <t>LONG</t>
        </is>
      </c>
      <c r="G12" t="n">
        <v>2196.9</v>
      </c>
      <c r="H12" t="n">
        <v>2178.1576</v>
      </c>
      <c r="I12" t="n">
        <v>2207.7219</v>
      </c>
      <c r="J12" s="4" t="inlineStr">
        <is>
          <t>STOP</t>
        </is>
      </c>
      <c r="K12" t="n">
        <v>-1</v>
      </c>
      <c r="L12" t="n">
        <v>1.18</v>
      </c>
      <c r="M12">
        <f>A12/B12</f>
        <v/>
      </c>
      <c r="N12">
        <f>IF(F12="LONG",G12*(1-1/B12+0.0055),G12*(1+1/B12-0.0055))</f>
        <v/>
      </c>
      <c r="O12">
        <f>IF(J12="","",IF(AND(L12&lt;&gt;"",F12="LONG",G12-L12*ABS(G12-H12)&lt;=N12),"ЛИКВИДАЦИЯ",IF(AND(L12&lt;&gt;"",F12="SHORT",G12+L12*ABS(H12-G12)&gt;=N12),"ЛИКВИДАЦИЯ",J12)))</f>
        <v/>
      </c>
      <c r="P12">
        <f>IF(OR(O12="",K12=""),"",IF(O12="ЛИКВИДАЦИЯ",-M12,A12*ABS(G12-H12)/G12*K12))</f>
        <v/>
      </c>
      <c r="Q12">
        <f>IF(OR(P12="",M12=0),"",P12/M12*100)</f>
        <v/>
      </c>
      <c r="R12">
        <f>IF(M12="","",A12*0.001)</f>
        <v/>
      </c>
      <c r="S12">
        <f>IF(M12="","",A12*0.0001)</f>
        <v/>
      </c>
      <c r="T12">
        <f>IF(P12="","",P12-R12-S12)</f>
        <v/>
      </c>
    </row>
    <row r="13">
      <c r="A13" s="7" t="n">
        <v>1000</v>
      </c>
      <c r="B13" s="7" t="n">
        <v>10</v>
      </c>
      <c r="C13" t="inlineStr">
        <is>
          <t>10.04 01:00</t>
        </is>
      </c>
      <c r="D13" t="inlineStr">
        <is>
          <t>BTC-USDT</t>
        </is>
      </c>
      <c r="E13" t="inlineStr">
        <is>
          <t>ENTRY</t>
        </is>
      </c>
      <c r="F13" t="inlineStr">
        <is>
          <t>LONG</t>
        </is>
      </c>
      <c r="G13" t="n">
        <v>71945.60000000001</v>
      </c>
      <c r="H13" t="n">
        <v>71461.2905</v>
      </c>
      <c r="I13" t="n">
        <v>72213.8863</v>
      </c>
      <c r="J13" s="3" t="inlineStr">
        <is>
          <t>TP</t>
        </is>
      </c>
      <c r="K13" t="n">
        <v>0.55</v>
      </c>
      <c r="L13" t="n">
        <v>0.65</v>
      </c>
      <c r="M13">
        <f>A13/B13</f>
        <v/>
      </c>
      <c r="N13">
        <f>IF(F13="LONG",G13*(1-1/B13+0.0055),G13*(1+1/B13-0.0055))</f>
        <v/>
      </c>
      <c r="O13">
        <f>IF(J13="","",IF(AND(L13&lt;&gt;"",F13="LONG",G13-L13*ABS(G13-H13)&lt;=N13),"ЛИКВИДАЦИЯ",IF(AND(L13&lt;&gt;"",F13="SHORT",G13+L13*ABS(H13-G13)&gt;=N13),"ЛИКВИДАЦИЯ",J13)))</f>
        <v/>
      </c>
      <c r="P13">
        <f>IF(OR(O13="",K13=""),"",IF(O13="ЛИКВИДАЦИЯ",-M13,A13*ABS(G13-H13)/G13*K13))</f>
        <v/>
      </c>
      <c r="Q13">
        <f>IF(OR(P13="",M13=0),"",P13/M13*100)</f>
        <v/>
      </c>
      <c r="R13">
        <f>IF(M13="","",A13*0.001)</f>
        <v/>
      </c>
      <c r="S13">
        <f>IF(M13="","",A13*3.7e-05)</f>
        <v/>
      </c>
      <c r="T13">
        <f>IF(P13="","",P13-R13-S13)</f>
        <v/>
      </c>
    </row>
    <row r="14">
      <c r="A14" s="7" t="n">
        <v>1000</v>
      </c>
      <c r="B14" s="7" t="n">
        <v>10</v>
      </c>
      <c r="C14" t="inlineStr">
        <is>
          <t>10.04 01:45</t>
        </is>
      </c>
      <c r="D14" t="inlineStr">
        <is>
          <t>BTC-USDT</t>
        </is>
      </c>
      <c r="E14" t="inlineStr">
        <is>
          <t>ENTRY</t>
        </is>
      </c>
      <c r="F14" t="inlineStr">
        <is>
          <t>LONG</t>
        </is>
      </c>
      <c r="G14" t="n">
        <v>72272.89999999999</v>
      </c>
      <c r="H14" t="n">
        <v>71456.2684</v>
      </c>
      <c r="I14" t="n">
        <v>72565.70050000001</v>
      </c>
      <c r="J14" s="2" t="inlineStr">
        <is>
          <t>TIME_EXIT</t>
        </is>
      </c>
      <c r="K14" t="n">
        <v>-0.15</v>
      </c>
      <c r="L14" t="n">
        <v>0.6</v>
      </c>
      <c r="M14">
        <f>A14/B14</f>
        <v/>
      </c>
      <c r="N14">
        <f>IF(F14="LONG",G14*(1-1/B14+0.0055),G14*(1+1/B14-0.0055))</f>
        <v/>
      </c>
      <c r="O14">
        <f>IF(J14="","",IF(AND(L14&lt;&gt;"",F14="LONG",G14-L14*ABS(G14-H14)&lt;=N14),"ЛИКВИДАЦИЯ",IF(AND(L14&lt;&gt;"",F14="SHORT",G14+L14*ABS(H14-G14)&gt;=N14),"ЛИКВИДАЦИЯ",J14)))</f>
        <v/>
      </c>
      <c r="P14">
        <f>IF(OR(O14="",K14=""),"",IF(O14="ЛИКВИДАЦИЯ",-M14,A14*ABS(G14-H14)/G14*K14))</f>
        <v/>
      </c>
      <c r="Q14">
        <f>IF(OR(P14="",M14=0),"",P14/M14*100)</f>
        <v/>
      </c>
      <c r="R14">
        <f>IF(M14="","",A14*0.001)</f>
        <v/>
      </c>
      <c r="S14">
        <f>IF(M14="","",A14*4.1e-05)</f>
        <v/>
      </c>
      <c r="T14">
        <f>IF(P14="","",P14-R14-S14)</f>
        <v/>
      </c>
    </row>
    <row r="15">
      <c r="A15" s="7" t="n">
        <v>1000</v>
      </c>
      <c r="B15" s="7" t="n">
        <v>10</v>
      </c>
      <c r="C15" t="inlineStr">
        <is>
          <t>10.04 05:00</t>
        </is>
      </c>
      <c r="D15" t="inlineStr">
        <is>
          <t>BTC-USDT</t>
        </is>
      </c>
      <c r="E15" t="inlineStr">
        <is>
          <t>ENTRY</t>
        </is>
      </c>
      <c r="F15" t="inlineStr">
        <is>
          <t>LONG</t>
        </is>
      </c>
      <c r="G15" t="n">
        <v>72086.8</v>
      </c>
      <c r="H15" t="n">
        <v>71718.87880000001</v>
      </c>
      <c r="I15" t="n">
        <v>72336.4084</v>
      </c>
      <c r="J15" s="4" t="inlineStr">
        <is>
          <t>STOP</t>
        </is>
      </c>
      <c r="K15" t="n">
        <v>-1</v>
      </c>
      <c r="L15" t="n">
        <v>1.9</v>
      </c>
      <c r="M15">
        <f>A15/B15</f>
        <v/>
      </c>
      <c r="N15">
        <f>IF(F15="LONG",G15*(1-1/B15+0.0055),G15*(1+1/B15-0.0055))</f>
        <v/>
      </c>
      <c r="O15">
        <f>IF(J15="","",IF(AND(L15&lt;&gt;"",F15="LONG",G15-L15*ABS(G15-H15)&lt;=N15),"ЛИКВИДАЦИЯ",IF(AND(L15&lt;&gt;"",F15="SHORT",G15+L15*ABS(H15-G15)&gt;=N15),"ЛИКВИДАЦИЯ",J15)))</f>
        <v/>
      </c>
      <c r="P15">
        <f>IF(OR(O15="",K15=""),"",IF(O15="ЛИКВИДАЦИЯ",-M15,A15*ABS(G15-H15)/G15*K15))</f>
        <v/>
      </c>
      <c r="Q15">
        <f>IF(OR(P15="",M15=0),"",P15/M15*100)</f>
        <v/>
      </c>
      <c r="R15">
        <f>IF(M15="","",A15*0.001)</f>
        <v/>
      </c>
      <c r="S15">
        <f>IF(M15="","",A15*3.6e-05)</f>
        <v/>
      </c>
      <c r="T15">
        <f>IF(P15="","",P15-R15-S15)</f>
        <v/>
      </c>
    </row>
    <row r="16">
      <c r="A16" s="7" t="n">
        <v>1000</v>
      </c>
      <c r="B16" s="7" t="n">
        <v>10</v>
      </c>
      <c r="C16" t="inlineStr">
        <is>
          <t>10.04 06:45</t>
        </is>
      </c>
      <c r="D16" t="inlineStr">
        <is>
          <t>BTC-USDT</t>
        </is>
      </c>
      <c r="E16" t="inlineStr">
        <is>
          <t>ENTRY</t>
        </is>
      </c>
      <c r="F16" t="inlineStr">
        <is>
          <t>LONG</t>
        </is>
      </c>
      <c r="G16" t="n">
        <v>71912.89999999999</v>
      </c>
      <c r="H16" t="n">
        <v>71620.0885</v>
      </c>
      <c r="I16" t="n">
        <v>72165.38860000001</v>
      </c>
      <c r="J16" s="4" t="inlineStr">
        <is>
          <t>STOP</t>
        </is>
      </c>
      <c r="K16" t="n">
        <v>-1</v>
      </c>
      <c r="L16" t="n">
        <v>1.79</v>
      </c>
      <c r="M16">
        <f>A16/B16</f>
        <v/>
      </c>
      <c r="N16">
        <f>IF(F16="LONG",G16*(1-1/B16+0.0055),G16*(1+1/B16-0.0055))</f>
        <v/>
      </c>
      <c r="O16">
        <f>IF(J16="","",IF(AND(L16&lt;&gt;"",F16="LONG",G16-L16*ABS(G16-H16)&lt;=N16),"ЛИКВИДАЦИЯ",IF(AND(L16&lt;&gt;"",F16="SHORT",G16+L16*ABS(H16-G16)&gt;=N16),"ЛИКВИДАЦИЯ",J16)))</f>
        <v/>
      </c>
      <c r="P16">
        <f>IF(OR(O16="",K16=""),"",IF(O16="ЛИКВИДАЦИЯ",-M16,A16*ABS(G16-H16)/G16*K16))</f>
        <v/>
      </c>
      <c r="Q16">
        <f>IF(OR(P16="",M16=0),"",P16/M16*100)</f>
        <v/>
      </c>
      <c r="R16">
        <f>IF(M16="","",A16*0.001)</f>
        <v/>
      </c>
      <c r="S16">
        <f>IF(M16="","",A16*3.7e-05)</f>
        <v/>
      </c>
      <c r="T16">
        <f>IF(P16="","",P16-R16-S16)</f>
        <v/>
      </c>
    </row>
    <row r="17">
      <c r="A17" s="7" t="n">
        <v>1000</v>
      </c>
      <c r="B17" s="7" t="n">
        <v>10</v>
      </c>
      <c r="C17" t="inlineStr">
        <is>
          <t>10.04 11:30</t>
        </is>
      </c>
      <c r="D17" t="inlineStr">
        <is>
          <t>ETH-USDT</t>
        </is>
      </c>
      <c r="E17" t="inlineStr">
        <is>
          <t>ENTRY</t>
        </is>
      </c>
      <c r="F17" t="inlineStr">
        <is>
          <t>LONG</t>
        </is>
      </c>
      <c r="G17" t="n">
        <v>2216.22</v>
      </c>
      <c r="H17" t="n">
        <v>2188.1533</v>
      </c>
      <c r="I17" t="n">
        <v>2227.4467</v>
      </c>
      <c r="J17" s="3" t="inlineStr">
        <is>
          <t>TP</t>
        </is>
      </c>
      <c r="K17" t="n">
        <v>0.4</v>
      </c>
      <c r="L17" t="n">
        <v>0.35</v>
      </c>
      <c r="M17">
        <f>A17/B17</f>
        <v/>
      </c>
      <c r="N17">
        <f>IF(F17="LONG",G17*(1-1/B17+0.0055),G17*(1+1/B17-0.0055))</f>
        <v/>
      </c>
      <c r="O17">
        <f>IF(J17="","",IF(AND(L17&lt;&gt;"",F17="LONG",G17-L17*ABS(G17-H17)&lt;=N17),"ЛИКВИДАЦИЯ",IF(AND(L17&lt;&gt;"",F17="SHORT",G17+L17*ABS(H17-G17)&gt;=N17),"ЛИКВИДАЦИЯ",J17)))</f>
        <v/>
      </c>
      <c r="P17">
        <f>IF(OR(O17="",K17=""),"",IF(O17="ЛИКВИДАЦИЯ",-M17,A17*ABS(G17-H17)/G17*K17))</f>
        <v/>
      </c>
      <c r="Q17">
        <f>IF(OR(P17="",M17=0),"",P17/M17*100)</f>
        <v/>
      </c>
      <c r="R17">
        <f>IF(M17="","",A17*0.001)</f>
        <v/>
      </c>
      <c r="S17">
        <f>IF(M17="","",A17*0.0001)</f>
        <v/>
      </c>
      <c r="T17">
        <f>IF(P17="","",P17-R17-S17)</f>
        <v/>
      </c>
    </row>
    <row r="18">
      <c r="A18" s="7" t="n">
        <v>1000</v>
      </c>
      <c r="B18" s="7" t="n">
        <v>10</v>
      </c>
      <c r="C18" t="inlineStr">
        <is>
          <t>10.04 12:45</t>
        </is>
      </c>
      <c r="D18" t="inlineStr">
        <is>
          <t>ETH-USDT</t>
        </is>
      </c>
      <c r="E18" t="inlineStr">
        <is>
          <t>ENTRY</t>
        </is>
      </c>
      <c r="F18" t="inlineStr">
        <is>
          <t>LONG</t>
        </is>
      </c>
      <c r="G18" t="n">
        <v>2223.49</v>
      </c>
      <c r="H18" t="n">
        <v>2187.8696</v>
      </c>
      <c r="I18" t="n">
        <v>2237.7382</v>
      </c>
      <c r="J18" s="3" t="inlineStr">
        <is>
          <t>TP</t>
        </is>
      </c>
      <c r="K18" t="n">
        <v>0.4</v>
      </c>
      <c r="L18" t="n">
        <v>0.46</v>
      </c>
      <c r="M18">
        <f>A18/B18</f>
        <v/>
      </c>
      <c r="N18">
        <f>IF(F18="LONG",G18*(1-1/B18+0.0055),G18*(1+1/B18-0.0055))</f>
        <v/>
      </c>
      <c r="O18">
        <f>IF(J18="","",IF(AND(L18&lt;&gt;"",F18="LONG",G18-L18*ABS(G18-H18)&lt;=N18),"ЛИКВИДАЦИЯ",IF(AND(L18&lt;&gt;"",F18="SHORT",G18+L18*ABS(H18-G18)&gt;=N18),"ЛИКВИДАЦИЯ",J18)))</f>
        <v/>
      </c>
      <c r="P18">
        <f>IF(OR(O18="",K18=""),"",IF(O18="ЛИКВИДАЦИЯ",-M18,A18*ABS(G18-H18)/G18*K18))</f>
        <v/>
      </c>
      <c r="Q18">
        <f>IF(OR(P18="",M18=0),"",P18/M18*100)</f>
        <v/>
      </c>
      <c r="R18">
        <f>IF(M18="","",A18*0.001)</f>
        <v/>
      </c>
      <c r="S18">
        <f>IF(M18="","",A18*6.4e-05)</f>
        <v/>
      </c>
      <c r="T18">
        <f>IF(P18="","",P18-R18-S18)</f>
        <v/>
      </c>
    </row>
    <row r="19">
      <c r="A19" s="7" t="n">
        <v>1000</v>
      </c>
      <c r="B19" s="7" t="n">
        <v>10</v>
      </c>
      <c r="C19" t="inlineStr">
        <is>
          <t>10.04 16:45</t>
        </is>
      </c>
      <c r="D19" t="inlineStr">
        <is>
          <t>XRP-USDT</t>
        </is>
      </c>
      <c r="E19" t="inlineStr">
        <is>
          <t>BB FADE</t>
        </is>
      </c>
      <c r="F19" t="inlineStr">
        <is>
          <t>LONG</t>
        </is>
      </c>
      <c r="G19" t="n">
        <v>1.3474</v>
      </c>
      <c r="H19" t="n">
        <v>1.344371428571429</v>
      </c>
      <c r="I19" t="n">
        <v>1.352255</v>
      </c>
      <c r="J19" s="3" t="inlineStr">
        <is>
          <t>TP</t>
        </is>
      </c>
      <c r="K19" t="n">
        <v>1.6</v>
      </c>
      <c r="L19" t="n">
        <v>0</v>
      </c>
      <c r="M19">
        <f>A19/B19</f>
        <v/>
      </c>
      <c r="N19">
        <f>IF(F19="LONG",G19*(1-1/B19+0.0055),G19*(1+1/B19-0.0055))</f>
        <v/>
      </c>
      <c r="O19">
        <f>IF(J19="","",IF(AND(L19&lt;&gt;"",F19="LONG",G19-L19*ABS(G19-H19)&lt;=N19),"ЛИКВИДАЦИЯ",IF(AND(L19&lt;&gt;"",F19="SHORT",G19+L19*ABS(H19-G19)&gt;=N19),"ЛИКВИДАЦИЯ",J19)))</f>
        <v/>
      </c>
      <c r="P19">
        <f>IF(OR(O19="",K19=""),"",IF(O19="ЛИКВИДАЦИЯ",-M19,A19*ABS(G19-H19)/G19*K19))</f>
        <v/>
      </c>
      <c r="Q19">
        <f>IF(OR(P19="",M19=0),"",P19/M19*100)</f>
        <v/>
      </c>
      <c r="R19">
        <f>IF(M19="","",A19*0.001)</f>
        <v/>
      </c>
      <c r="S19">
        <f>IF(M19="","",A19*9.9e-05)</f>
        <v/>
      </c>
      <c r="T19">
        <f>IF(P19="","",P19-R19-S19)</f>
        <v/>
      </c>
    </row>
    <row r="20">
      <c r="A20" s="7" t="n">
        <v>1000</v>
      </c>
      <c r="B20" s="7" t="n">
        <v>10</v>
      </c>
      <c r="C20" t="inlineStr">
        <is>
          <t>10.04 18:00</t>
        </is>
      </c>
      <c r="D20" t="inlineStr">
        <is>
          <t>XRP-USDT</t>
        </is>
      </c>
      <c r="E20" t="inlineStr">
        <is>
          <t>BB FADE</t>
        </is>
      </c>
      <c r="F20" t="inlineStr">
        <is>
          <t>SHORT</t>
        </is>
      </c>
      <c r="G20" t="n">
        <v>1.3548</v>
      </c>
      <c r="H20" t="n">
        <v>1.357035714285714</v>
      </c>
      <c r="I20" t="n">
        <v>1.35125</v>
      </c>
      <c r="J20" s="4" t="inlineStr">
        <is>
          <t>STOP</t>
        </is>
      </c>
      <c r="K20" t="n">
        <v>-1</v>
      </c>
      <c r="L20" t="n">
        <v>2.42</v>
      </c>
      <c r="M20">
        <f>A20/B20</f>
        <v/>
      </c>
      <c r="N20">
        <f>IF(F20="LONG",G20*(1-1/B20+0.0055),G20*(1+1/B20-0.0055))</f>
        <v/>
      </c>
      <c r="O20">
        <f>IF(J20="","",IF(AND(L20&lt;&gt;"",F20="LONG",G20-L20*ABS(G20-H20)&lt;=N20),"ЛИКВИДАЦИЯ",IF(AND(L20&lt;&gt;"",F20="SHORT",G20+L20*ABS(H20-G20)&gt;=N20),"ЛИКВИДАЦИЯ",J20)))</f>
        <v/>
      </c>
      <c r="P20">
        <f>IF(OR(O20="",K20=""),"",IF(O20="ЛИКВИДАЦИЯ",-M20,A20*ABS(G20-H20)/G20*K20))</f>
        <v/>
      </c>
      <c r="Q20">
        <f>IF(OR(P20="",M20=0),"",P20/M20*100)</f>
        <v/>
      </c>
      <c r="R20">
        <f>IF(M20="","",A20*0.001)</f>
        <v/>
      </c>
      <c r="S20">
        <f>IF(M20="","",A20*0.0001)</f>
        <v/>
      </c>
      <c r="T20">
        <f>IF(P20="","",P20-R20-S20)</f>
        <v/>
      </c>
    </row>
    <row r="21">
      <c r="A21" s="7" t="n">
        <v>1000</v>
      </c>
      <c r="B21" s="7" t="n">
        <v>10</v>
      </c>
      <c r="C21" t="inlineStr">
        <is>
          <t>10.04 19:30</t>
        </is>
      </c>
      <c r="D21" t="inlineStr">
        <is>
          <t>XRP-USDT</t>
        </is>
      </c>
      <c r="E21" t="inlineStr">
        <is>
          <t>BB FADE</t>
        </is>
      </c>
      <c r="F21" t="inlineStr">
        <is>
          <t>SHORT</t>
        </is>
      </c>
      <c r="G21" t="n">
        <v>1.3617</v>
      </c>
      <c r="H21" t="n">
        <v>1.363742857142857</v>
      </c>
      <c r="I21" t="n">
        <v>1.3569</v>
      </c>
      <c r="J21" s="4" t="inlineStr">
        <is>
          <t>STOP</t>
        </is>
      </c>
      <c r="K21" t="n">
        <v>-1</v>
      </c>
      <c r="L21" t="n">
        <v>1.86</v>
      </c>
      <c r="M21">
        <f>A21/B21</f>
        <v/>
      </c>
      <c r="N21">
        <f>IF(F21="LONG",G21*(1-1/B21+0.0055),G21*(1+1/B21-0.0055))</f>
        <v/>
      </c>
      <c r="O21">
        <f>IF(J21="","",IF(AND(L21&lt;&gt;"",F21="LONG",G21-L21*ABS(G21-H21)&lt;=N21),"ЛИКВИДАЦИЯ",IF(AND(L21&lt;&gt;"",F21="SHORT",G21+L21*ABS(H21-G21)&gt;=N21),"ЛИКВИДАЦИЯ",J21)))</f>
        <v/>
      </c>
      <c r="P21">
        <f>IF(OR(O21="",K21=""),"",IF(O21="ЛИКВИДАЦИЯ",-M21,A21*ABS(G21-H21)/G21*K21))</f>
        <v/>
      </c>
      <c r="Q21">
        <f>IF(OR(P21="",M21=0),"",P21/M21*100)</f>
        <v/>
      </c>
      <c r="R21">
        <f>IF(M21="","",A21*0.001)</f>
        <v/>
      </c>
      <c r="S21">
        <f>IF(M21="","",A21*0.0001)</f>
        <v/>
      </c>
      <c r="T21">
        <f>IF(P21="","",P21-R21-S21)</f>
        <v/>
      </c>
    </row>
    <row r="22">
      <c r="A22" s="7" t="n">
        <v>1000</v>
      </c>
      <c r="B22" s="7" t="n">
        <v>10</v>
      </c>
      <c r="C22" t="inlineStr">
        <is>
          <t>11.04 01:30</t>
        </is>
      </c>
      <c r="D22" t="inlineStr">
        <is>
          <t>DOGE-USDT</t>
        </is>
      </c>
      <c r="E22" t="inlineStr">
        <is>
          <t>ENTRY</t>
        </is>
      </c>
      <c r="F22" t="inlineStr">
        <is>
          <t>LONG</t>
        </is>
      </c>
      <c r="G22" t="n">
        <v>0.09344</v>
      </c>
      <c r="H22" t="n">
        <v>0.0929</v>
      </c>
      <c r="I22" t="n">
        <v>0.09379999999999999</v>
      </c>
      <c r="J22" t="inlineStr"/>
      <c r="M22">
        <f>A22/B22</f>
        <v/>
      </c>
      <c r="N22">
        <f>IF(F22="LONG",G22*(1-1/B22+0.0055),G22*(1+1/B22-0.0055))</f>
        <v/>
      </c>
      <c r="O22">
        <f>IF(J22="","",IF(AND(L22&lt;&gt;"",F22="LONG",G22-L22*ABS(G22-H22)&lt;=N22),"ЛИКВИДАЦИЯ",IF(AND(L22&lt;&gt;"",F22="SHORT",G22+L22*ABS(H22-G22)&gt;=N22),"ЛИКВИДАЦИЯ",J22)))</f>
        <v/>
      </c>
      <c r="P22">
        <f>IF(OR(O22="",K22=""),"",IF(O22="ЛИКВИДАЦИЯ",-M22,A22*ABS(G22-H22)/G22*K22))</f>
        <v/>
      </c>
      <c r="Q22">
        <f>IF(OR(P22="",M22=0),"",P22/M22*100)</f>
        <v/>
      </c>
      <c r="R22">
        <f>IF(M22="","",A22*0.001)</f>
        <v/>
      </c>
      <c r="S22">
        <f>IF(M22="","",A22*0.0001)</f>
        <v/>
      </c>
      <c r="T22">
        <f>IF(P22="","",P22-R22-S22)</f>
        <v/>
      </c>
    </row>
    <row r="23">
      <c r="A23" s="7" t="n">
        <v>1000</v>
      </c>
      <c r="B23" s="7" t="n">
        <v>10</v>
      </c>
      <c r="C23" t="inlineStr">
        <is>
          <t>11.04 02:45</t>
        </is>
      </c>
      <c r="D23" t="inlineStr">
        <is>
          <t>DOGE-USDT</t>
        </is>
      </c>
      <c r="E23" t="inlineStr">
        <is>
          <t>ENTRY</t>
        </is>
      </c>
      <c r="F23" t="inlineStr">
        <is>
          <t>LONG</t>
        </is>
      </c>
      <c r="G23" t="n">
        <v>0.09368</v>
      </c>
      <c r="H23" t="n">
        <v>0.09320000000000001</v>
      </c>
      <c r="I23" t="n">
        <v>0.0941</v>
      </c>
      <c r="J23" t="inlineStr"/>
      <c r="M23">
        <f>A23/B23</f>
        <v/>
      </c>
      <c r="N23">
        <f>IF(F23="LONG",G23*(1-1/B23+0.0055),G23*(1+1/B23-0.0055))</f>
        <v/>
      </c>
      <c r="O23">
        <f>IF(J23="","",IF(AND(L23&lt;&gt;"",F23="LONG",G23-L23*ABS(G23-H23)&lt;=N23),"ЛИКВИДАЦИЯ",IF(AND(L23&lt;&gt;"",F23="SHORT",G23+L23*ABS(H23-G23)&gt;=N23),"ЛИКВИДАЦИЯ",J23)))</f>
        <v/>
      </c>
      <c r="P23">
        <f>IF(OR(O23="",K23=""),"",IF(O23="ЛИКВИДАЦИЯ",-M23,A23*ABS(G23-H23)/G23*K23))</f>
        <v/>
      </c>
      <c r="Q23">
        <f>IF(OR(P23="",M23=0),"",P23/M23*100)</f>
        <v/>
      </c>
      <c r="R23">
        <f>IF(M23="","",A23*0.001)</f>
        <v/>
      </c>
      <c r="S23">
        <f>IF(M23="","",A23*9.4e-05)</f>
        <v/>
      </c>
      <c r="T23">
        <f>IF(P23="","",P23-R23-S23)</f>
        <v/>
      </c>
    </row>
    <row r="25">
      <c r="A25" s="8" t="inlineStr">
        <is>
          <t>Всего сигналов</t>
        </is>
      </c>
      <c r="B25" s="9" t="n">
        <v>22</v>
      </c>
    </row>
    <row r="26">
      <c r="A26" s="8" t="inlineStr">
        <is>
          <t>Закрыто</t>
        </is>
      </c>
      <c r="B26" s="9" t="n">
        <v>20</v>
      </c>
    </row>
    <row r="27">
      <c r="A27" s="8" t="inlineStr">
        <is>
          <t>WR</t>
        </is>
      </c>
      <c r="B27" s="9" t="inlineStr">
        <is>
          <t>8/20 = 40%</t>
        </is>
      </c>
    </row>
    <row r="28">
      <c r="A28" s="8" t="inlineStr">
        <is>
          <t>P&amp;L$ (брутто)</t>
        </is>
      </c>
      <c r="B28" s="9">
        <f>SUM(P2:P23)</f>
        <v/>
      </c>
    </row>
    <row r="29">
      <c r="A29" s="8" t="inlineStr">
        <is>
          <t>Чистый P&amp;L$</t>
        </is>
      </c>
      <c r="B29" s="9">
        <f>SUM(T2:T23)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2026-04-11T04:28:58Z</dcterms:created>
  <dcterms:modified xmlns:dcterms="http://purl.org/dc/terms/" xmlns:xsi="http://www.w3.org/2001/XMLSchema-instance" xsi:type="dcterms:W3CDTF">2026-04-11T04:28:58Z</dcterms:modified>
</cp:coreProperties>
</file>